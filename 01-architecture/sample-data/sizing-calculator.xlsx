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Siz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<sst xmlns="http://schemas.openxmlformats.org/spreadsheetml/2006/main" count="124" uniqueCount="104">
  <si>
    <t xml:space="preserve">Sizing summary</t>
  </si>
  <si>
    <t xml:space="preserve">Metric</t>
  </si>
  <si>
    <t xml:space="preserve">Value</t>
  </si>
  <si>
    <t xml:space="preserve">Note</t>
  </si>
  <si>
    <t xml:space="preserve">Number of third-party sources</t>
  </si>
  <si>
    <t xml:space="preserve">Average EPS (total)</t>
  </si>
  <si>
    <t xml:space="preserve">Peak EPS (avg x multiplier)</t>
  </si>
  <si>
    <t xml:space="preserve">Use for collector / HEC capacity</t>
  </si>
  <si>
    <t xml:space="preserve">Raw ingest (GB/day)</t>
  </si>
  <si>
    <t xml:space="preserve">Before any filtering</t>
  </si>
  <si>
    <t xml:space="preserve">Saved by pre-ingest filtering (GB/day)</t>
  </si>
  <si>
    <t xml:space="preserve">Ingest after filtering (GB/day)</t>
  </si>
  <si>
    <t xml:space="preserve">Baseline for licensing</t>
  </si>
  <si>
    <t xml:space="preserve">Ingest incl. growth buffer (GB/day)</t>
  </si>
  <si>
    <t xml:space="preserve">12-month planning figure</t>
  </si>
  <si>
    <t xml:space="preserve">Free third-party tier (GB/day)</t>
  </si>
  <si>
    <t xml:space="preserve">VERIFY against current licensing</t>
  </si>
  <si>
    <t xml:space="preserve">Headroom vs free tier - today (GB/day)</t>
  </si>
  <si>
    <t xml:space="preserve">Negative = over</t>
  </si>
  <si>
    <t xml:space="preserve">Headroom vs free tier - with growth (GB/day)</t>
  </si>
  <si>
    <t xml:space="preserve">Licensing status (with growth)</t>
  </si>
  <si>
    <t xml:space="preserve">Stored data, steady state (GB)</t>
  </si>
  <si>
    <t xml:space="preserve">Depends on compression assumption</t>
  </si>
  <si>
    <t xml:space="preserve">Ingest by category (after filtering)</t>
  </si>
  <si>
    <t xml:space="preserve">Category</t>
  </si>
  <si>
    <t xml:space="preserve">Ingest GB/day</t>
  </si>
  <si>
    <t xml:space="preserve">Share of total</t>
  </si>
  <si>
    <t xml:space="preserve">Identity</t>
  </si>
  <si>
    <t xml:space="preserve">SaaS</t>
  </si>
  <si>
    <t xml:space="preserve">Cloud</t>
  </si>
  <si>
    <t xml:space="preserve">Firewall</t>
  </si>
  <si>
    <t xml:space="preserve">Proxy</t>
  </si>
  <si>
    <t xml:space="preserve">OS</t>
  </si>
  <si>
    <t xml:space="preserve">TOTAL</t>
  </si>
  <si>
    <t xml:space="preserve">Check: category total equals ingest after filtering</t>
  </si>
  <si>
    <t xml:space="preserve">NG-SIEM sizing calculator - assumptions</t>
  </si>
  <si>
    <t xml:space="preserve">LEGEND: blue text = input you can edit | black = formula | yellow fill = key assumption to validate in your own tenant. All figures are fictional planning values for 'Northwind Labs' (500 users, 300 endpoints).</t>
  </si>
  <si>
    <t xml:space="preserve">Parameter</t>
  </si>
  <si>
    <t xml:space="preserve">Source / note</t>
  </si>
  <si>
    <t xml:space="preserve">Compression ratio (raw : stored)</t>
  </si>
  <si>
    <t xml:space="preserve">ASSUMPTION - planning value. Measure the real ratio from repository stats after onboarding.</t>
  </si>
  <si>
    <t xml:space="preserve">Seconds per day</t>
  </si>
  <si>
    <t xml:space="preserve">Constant.</t>
  </si>
  <si>
    <t xml:space="preserve">Bytes per GB (decimal)</t>
  </si>
  <si>
    <t xml:space="preserve">Constant. Decimal GB for simple capacity planning.</t>
  </si>
  <si>
    <t xml:space="preserve">Growth buffer (12 months)</t>
  </si>
  <si>
    <t xml:space="preserve">ASSUMPTION - author planning value (new sources + org growth).</t>
  </si>
  <si>
    <t xml:space="preserve">Peak-to-average EPS multiplier</t>
  </si>
  <si>
    <t xml:space="preserve">ASSUMPTION - used only to size collectors/HEC for bursts.</t>
  </si>
  <si>
    <t xml:space="preserve">Free third-party ingest (GB/day)</t>
  </si>
  <si>
    <t xml:space="preserve">From author's study notes (Falcon Insight XDR customer). VERIFY against current CrowdStrike licensing.</t>
  </si>
  <si>
    <t xml:space="preserve">Per-source sizing (third-party data only; first-party Falcon data is not counted here)</t>
  </si>
  <si>
    <t xml:space="preserve">LEGEND: edit blue cells (EPS, event size, filter %, retention). Row 5 (Okta) is the example of the expected format. Raw GB/day = EPS x bytes x 86400 / 1e9.</t>
  </si>
  <si>
    <t xml:space="preserve">ID</t>
  </si>
  <si>
    <t xml:space="preserve">Source</t>
  </si>
  <si>
    <t xml:space="preserve">Onboarding method</t>
  </si>
  <si>
    <t xml:space="preserve">Target repo (logical)</t>
  </si>
  <si>
    <t xml:space="preserve">Avg EPS</t>
  </si>
  <si>
    <t xml:space="preserve">Avg event size (bytes)</t>
  </si>
  <si>
    <t xml:space="preserve">Raw GB/day</t>
  </si>
  <si>
    <t xml:space="preserve">Pre-ingest filter reduction</t>
  </si>
  <si>
    <t xml:space="preserve">Retention (days)</t>
  </si>
  <si>
    <t xml:space="preserve">Stored GB (steady state)</t>
  </si>
  <si>
    <t xml:space="preserve">Notes</t>
  </si>
  <si>
    <t xml:space="preserve">SRC-01</t>
  </si>
  <si>
    <t xml:space="preserve">Okta SSO</t>
  </si>
  <si>
    <t xml:space="preserve">Data connector (API pull)</t>
  </si>
  <si>
    <t xml:space="preserve">repo-identity</t>
  </si>
  <si>
    <t xml:space="preserve">System log; high investigative value</t>
  </si>
  <si>
    <t xml:space="preserve">SRC-02</t>
  </si>
  <si>
    <t xml:space="preserve">Microsoft Entra ID</t>
  </si>
  <si>
    <t xml:space="preserve">Sign-in + audit logs</t>
  </si>
  <si>
    <t xml:space="preserve">SRC-03</t>
  </si>
  <si>
    <t xml:space="preserve">Microsoft 365 audit</t>
  </si>
  <si>
    <t xml:space="preserve">repo-saas</t>
  </si>
  <si>
    <t xml:space="preserve">Exchange/SharePoint/Teams audit</t>
  </si>
  <si>
    <t xml:space="preserve">SRC-04</t>
  </si>
  <si>
    <t xml:space="preserve">AWS CloudTrail</t>
  </si>
  <si>
    <t xml:space="preserve">repo-cloud</t>
  </si>
  <si>
    <t xml:space="preserve">Management events; data events excluded</t>
  </si>
  <si>
    <t xml:space="preserve">SRC-05</t>
  </si>
  <si>
    <t xml:space="preserve">FortiGate - traffic</t>
  </si>
  <si>
    <t xml:space="preserve">CrowdStream filter -&gt; NG-SIEM</t>
  </si>
  <si>
    <t xml:space="preserve">repo-net-traffic</t>
  </si>
  <si>
    <t xml:space="preserve">Drop allowed internal-to-internal noise pre-ingest</t>
  </si>
  <si>
    <t xml:space="preserve">SRC-06</t>
  </si>
  <si>
    <t xml:space="preserve">FortiGate - UTM/event</t>
  </si>
  <si>
    <t xml:space="preserve">Falcon Log Collector (syslog)</t>
  </si>
  <si>
    <t xml:space="preserve">repo-net-security</t>
  </si>
  <si>
    <t xml:space="preserve">IPS, VPN, admin events</t>
  </si>
  <si>
    <t xml:space="preserve">SRC-07</t>
  </si>
  <si>
    <t xml:space="preserve">Zscaler Internet Access</t>
  </si>
  <si>
    <t xml:space="preserve">HEC (push)</t>
  </si>
  <si>
    <t xml:space="preserve">Filter health-check/CDN noise</t>
  </si>
  <si>
    <t xml:space="preserve">SRC-08</t>
  </si>
  <si>
    <t xml:space="preserve">Windows Security (domain controllers)</t>
  </si>
  <si>
    <t xml:space="preserve">Falcon Log Collector (Windows events)</t>
  </si>
  <si>
    <t xml:space="preserve">repo-os</t>
  </si>
  <si>
    <t xml:space="preserve">Drop noisy event IDs; keep 4624/4625/4768/4769 etc.</t>
  </si>
  <si>
    <t xml:space="preserve">SRC-09</t>
  </si>
  <si>
    <t xml:space="preserve">Linux auth/syslog</t>
  </si>
  <si>
    <t xml:space="preserve">Falcon Log Collector (file/syslog)</t>
  </si>
  <si>
    <t xml:space="preserve">auth.log, sudo, sshd</t>
  </si>
  <si>
    <t xml:space="preserve">Retention values are design decisions (see docs/04-retention-and-repositories.md), not vendor limits. EPS and event sizes are fictional planning values.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</si>
</sst>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"/>
    <numFmt numFmtId="167" formatCode="0.0"/>
    <numFmt numFmtId="168" formatCode="@"/>
    <numFmt numFmtId="169" formatCode="#,##0.0"/>
    <numFmt numFmtId="170" formatCode="0.000"/>
    <numFmt numFmtId="171" formatCode="0%"/>
    <numFmt numFmtId="172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f aca="false">COUNTA(Sizing!B5:B13)</f>
        <v>9</v>
      </c>
      <c r="C4" s="3"/>
    </row>
    <row r="5" customFormat="false" ht="15" hidden="false" customHeight="false" outlineLevel="0" collapsed="false">
      <c r="A5" s="3" t="s">
        <v>5</v>
      </c>
      <c r="B5" s="4" t="n">
        <f aca="false">Sizing!F14</f>
        <v>204</v>
      </c>
      <c r="C5" s="3"/>
    </row>
    <row r="6" customFormat="false" ht="15" hidden="false" customHeight="false" outlineLevel="0" collapsed="false">
      <c r="A6" s="3" t="s">
        <v>6</v>
      </c>
      <c r="B6" s="4" t="n">
        <f aca="false">B5*Assumptions!B9</f>
        <v>612</v>
      </c>
      <c r="C6" s="3" t="s">
        <v>7</v>
      </c>
    </row>
    <row r="7" customFormat="false" ht="15" hidden="false" customHeight="false" outlineLevel="0" collapsed="false">
      <c r="A7" s="3" t="s">
        <v>8</v>
      </c>
      <c r="B7" s="5" t="n">
        <f aca="false">Sizing!H14</f>
        <v>11.52576</v>
      </c>
      <c r="C7" s="3" t="s">
        <v>9</v>
      </c>
    </row>
    <row r="8" customFormat="false" ht="15" hidden="false" customHeight="false" outlineLevel="0" collapsed="false">
      <c r="A8" s="3" t="s">
        <v>10</v>
      </c>
      <c r="B8" s="5" t="n">
        <f aca="false">B7-B9</f>
        <v>3.4992</v>
      </c>
      <c r="C8" s="3"/>
    </row>
    <row r="9" customFormat="false" ht="15" hidden="false" customHeight="false" outlineLevel="0" collapsed="false">
      <c r="A9" s="3" t="s">
        <v>11</v>
      </c>
      <c r="B9" s="5" t="n">
        <f aca="false">Sizing!J14</f>
        <v>8.02656</v>
      </c>
      <c r="C9" s="3" t="s">
        <v>12</v>
      </c>
    </row>
    <row r="10" customFormat="false" ht="15" hidden="false" customHeight="false" outlineLevel="0" collapsed="false">
      <c r="A10" s="3" t="s">
        <v>13</v>
      </c>
      <c r="B10" s="5" t="n">
        <f aca="false">B9*(1+Assumptions!B8)</f>
        <v>10.0332</v>
      </c>
      <c r="C10" s="3" t="s">
        <v>14</v>
      </c>
    </row>
    <row r="11" customFormat="false" ht="15" hidden="false" customHeight="false" outlineLevel="0" collapsed="false">
      <c r="A11" s="3" t="s">
        <v>15</v>
      </c>
      <c r="B11" s="6" t="n">
        <f aca="false">Assumptions!B10</f>
        <v>10</v>
      </c>
      <c r="C11" s="3" t="s">
        <v>16</v>
      </c>
    </row>
    <row r="12" customFormat="false" ht="15" hidden="false" customHeight="false" outlineLevel="0" collapsed="false">
      <c r="A12" s="3" t="s">
        <v>17</v>
      </c>
      <c r="B12" s="5" t="n">
        <f aca="false">B11-B9</f>
        <v>1.97344</v>
      </c>
      <c r="C12" s="3" t="s">
        <v>18</v>
      </c>
    </row>
    <row r="13" customFormat="false" ht="15" hidden="false" customHeight="false" outlineLevel="0" collapsed="false">
      <c r="A13" s="3" t="s">
        <v>19</v>
      </c>
      <c r="B13" s="5" t="n">
        <f aca="false">B11-B10</f>
        <v>-0.0332000000000008</v>
      </c>
      <c r="C13" s="3" t="s">
        <v>18</v>
      </c>
    </row>
    <row r="14" customFormat="false" ht="15" hidden="false" customHeight="false" outlineLevel="0" collapsed="false">
      <c r="A14" s="3" t="s">
        <v>20</v>
      </c>
      <c r="B14" s="7" t="str">
        <f aca="false">IF(B10&lt;=B11,"Within free tier","Exceeds free tier - licensed volume needed")</f>
        <v>Exceeds free tier - licensed volume needed</v>
      </c>
      <c r="C14" s="3"/>
    </row>
    <row r="15" customFormat="false" ht="15" hidden="false" customHeight="false" outlineLevel="0" collapsed="false">
      <c r="A15" s="3" t="s">
        <v>21</v>
      </c>
      <c r="B15" s="8" t="n">
        <f aca="false">Sizing!L14</f>
        <v>142.4088</v>
      </c>
      <c r="C15" s="3" t="s">
        <v>22</v>
      </c>
    </row>
    <row r="18" customFormat="false" ht="15" hidden="false" customHeight="false" outlineLevel="0" collapsed="false">
      <c r="A18" s="9" t="s">
        <v>23</v>
      </c>
    </row>
    <row r="19" customFormat="false" ht="15" hidden="false" customHeight="false" outlineLevel="0" collapsed="false">
      <c r="A19" s="2" t="s">
        <v>24</v>
      </c>
      <c r="B19" s="2" t="s">
        <v>25</v>
      </c>
      <c r="C19" s="2" t="s">
        <v>26</v>
      </c>
    </row>
    <row r="20" customFormat="false" ht="15" hidden="false" customHeight="false" outlineLevel="0" collapsed="false">
      <c r="A20" s="3" t="s">
        <v>27</v>
      </c>
      <c r="B20" s="10" t="n">
        <f aca="false">SUMIF(Sizing!$C$5:$C$13,A20,Sizing!$J$5:$J$13)</f>
        <v>0.648</v>
      </c>
      <c r="C20" s="11" t="n">
        <f aca="false">IF($B$9=0,0,B20/$B$9)</f>
        <v>0.0807319698600646</v>
      </c>
    </row>
    <row r="21" customFormat="false" ht="15" hidden="false" customHeight="false" outlineLevel="0" collapsed="false">
      <c r="A21" s="3" t="s">
        <v>28</v>
      </c>
      <c r="B21" s="10" t="n">
        <f aca="false">SUMIF(Sizing!$C$5:$C$13,A21,Sizing!$J$5:$J$13)</f>
        <v>0.5184</v>
      </c>
      <c r="C21" s="11" t="n">
        <f aca="false">IF($B$9=0,0,B21/$B$9)</f>
        <v>0.0645855758880517</v>
      </c>
    </row>
    <row r="22" customFormat="false" ht="15" hidden="false" customHeight="false" outlineLevel="0" collapsed="false">
      <c r="A22" s="3" t="s">
        <v>29</v>
      </c>
      <c r="B22" s="10" t="n">
        <f aca="false">SUMIF(Sizing!$C$5:$C$13,A22,Sizing!$J$5:$J$13)</f>
        <v>0.76032</v>
      </c>
      <c r="C22" s="11" t="n">
        <f aca="false">IF($B$9=0,0,B22/$B$9)</f>
        <v>0.0947255113024758</v>
      </c>
    </row>
    <row r="23" customFormat="false" ht="15" hidden="false" customHeight="false" outlineLevel="0" collapsed="false">
      <c r="A23" s="3" t="s">
        <v>30</v>
      </c>
      <c r="B23" s="10" t="n">
        <f aca="false">SUMIF(Sizing!$C$5:$C$13,A23,Sizing!$J$5:$J$13)</f>
        <v>2.85984</v>
      </c>
      <c r="C23" s="11" t="n">
        <f aca="false">IF($B$9=0,0,B23/$B$9)</f>
        <v>0.356297093649085</v>
      </c>
    </row>
    <row r="24" customFormat="false" ht="15" hidden="false" customHeight="false" outlineLevel="0" collapsed="false">
      <c r="A24" s="3" t="s">
        <v>31</v>
      </c>
      <c r="B24" s="10" t="n">
        <f aca="false">SUMIF(Sizing!$C$5:$C$13,A24,Sizing!$J$5:$J$13)</f>
        <v>1.8144</v>
      </c>
      <c r="C24" s="11" t="n">
        <f aca="false">IF($B$9=0,0,B24/$B$9)</f>
        <v>0.226049515608181</v>
      </c>
    </row>
    <row r="25" customFormat="false" ht="15" hidden="false" customHeight="false" outlineLevel="0" collapsed="false">
      <c r="A25" s="3" t="s">
        <v>32</v>
      </c>
      <c r="B25" s="10" t="n">
        <f aca="false">SUMIF(Sizing!$C$5:$C$13,A25,Sizing!$J$5:$J$13)</f>
        <v>1.4256</v>
      </c>
      <c r="C25" s="11" t="n">
        <f aca="false">IF($B$9=0,0,B25/$B$9)</f>
        <v>0.177610333692142</v>
      </c>
    </row>
    <row r="26" customFormat="false" ht="15" hidden="false" customHeight="false" outlineLevel="0" collapsed="false">
      <c r="A26" s="9" t="s">
        <v>33</v>
      </c>
      <c r="B26" s="12" t="n">
        <f aca="false">SUM(B20:B25)</f>
        <v>8.02656</v>
      </c>
      <c r="C26" s="13" t="n">
        <f aca="false">SUM(C20:C25)</f>
        <v>1</v>
      </c>
    </row>
    <row r="27" customFormat="false" ht="15" hidden="false" customHeight="false" outlineLevel="0" collapsed="false">
      <c r="A27" s="14" t="s">
        <v>34</v>
      </c>
      <c r="B27" s="14" t="str">
        <f aca="false">IF(ABS(B26-B9)&lt;0.0001,"OK","MISMATCH")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85"/>
  </cols>
  <sheetData>
    <row r="1" customFormat="false" ht="17.35" hidden="false" customHeight="false" outlineLevel="0" collapsed="false">
      <c r="A1" s="1" t="s">
        <v>35</v>
      </c>
    </row>
    <row r="2" customFormat="false" ht="45" hidden="false" customHeight="true" outlineLevel="0" collapsed="false">
      <c r="A2" s="15" t="s">
        <v>36</v>
      </c>
      <c r="B2" s="15"/>
      <c r="C2" s="15"/>
    </row>
    <row r="4" customFormat="false" ht="15" hidden="false" customHeight="false" outlineLevel="0" collapsed="false">
      <c r="A4" s="2" t="s">
        <v>37</v>
      </c>
      <c r="B4" s="2" t="s">
        <v>2</v>
      </c>
      <c r="C4" s="2" t="s">
        <v>38</v>
      </c>
    </row>
    <row r="5" customFormat="false" ht="15" hidden="false" customHeight="false" outlineLevel="0" collapsed="false">
      <c r="A5" s="3" t="s">
        <v>39</v>
      </c>
      <c r="B5" s="16" t="n">
        <v>10</v>
      </c>
      <c r="C5" s="17" t="s">
        <v>40</v>
      </c>
    </row>
    <row r="6" customFormat="false" ht="15" hidden="false" customHeight="false" outlineLevel="0" collapsed="false">
      <c r="A6" s="3" t="s">
        <v>41</v>
      </c>
      <c r="B6" s="18" t="n">
        <v>86400</v>
      </c>
      <c r="C6" s="17" t="s">
        <v>42</v>
      </c>
    </row>
    <row r="7" customFormat="false" ht="15" hidden="false" customHeight="false" outlineLevel="0" collapsed="false">
      <c r="A7" s="3" t="s">
        <v>43</v>
      </c>
      <c r="B7" s="18" t="n">
        <v>1000000000</v>
      </c>
      <c r="C7" s="17" t="s">
        <v>44</v>
      </c>
    </row>
    <row r="8" customFormat="false" ht="15" hidden="false" customHeight="false" outlineLevel="0" collapsed="false">
      <c r="A8" s="3" t="s">
        <v>45</v>
      </c>
      <c r="B8" s="19" t="n">
        <v>0.25</v>
      </c>
      <c r="C8" s="17" t="s">
        <v>46</v>
      </c>
    </row>
    <row r="9" customFormat="false" ht="15" hidden="false" customHeight="false" outlineLevel="0" collapsed="false">
      <c r="A9" s="3" t="s">
        <v>47</v>
      </c>
      <c r="B9" s="16" t="n">
        <v>3</v>
      </c>
      <c r="C9" s="17" t="s">
        <v>48</v>
      </c>
    </row>
    <row r="10" customFormat="false" ht="23.85" hidden="false" customHeight="false" outlineLevel="0" collapsed="false">
      <c r="A10" s="3" t="s">
        <v>49</v>
      </c>
      <c r="B10" s="20" t="n">
        <v>10</v>
      </c>
      <c r="C10" s="17" t="s">
        <v>50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14" t="s">
        <v>52</v>
      </c>
    </row>
    <row r="4" customFormat="false" ht="42" hidden="false" customHeight="true" outlineLevel="0" collapsed="false">
      <c r="A4" s="2" t="s">
        <v>53</v>
      </c>
      <c r="B4" s="2" t="s">
        <v>54</v>
      </c>
      <c r="C4" s="2" t="s">
        <v>24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25</v>
      </c>
      <c r="K4" s="2" t="s">
        <v>61</v>
      </c>
      <c r="L4" s="2" t="s">
        <v>62</v>
      </c>
      <c r="M4" s="2" t="s">
        <v>63</v>
      </c>
    </row>
    <row r="5" customFormat="false" ht="15" hidden="false" customHeight="false" outlineLevel="0" collapsed="false">
      <c r="A5" s="17" t="s">
        <v>64</v>
      </c>
      <c r="B5" s="17" t="s">
        <v>65</v>
      </c>
      <c r="C5" s="17" t="s">
        <v>27</v>
      </c>
      <c r="D5" s="17" t="s">
        <v>66</v>
      </c>
      <c r="E5" s="17" t="s">
        <v>67</v>
      </c>
      <c r="F5" s="18" t="n">
        <v>3</v>
      </c>
      <c r="G5" s="18" t="n">
        <v>900</v>
      </c>
      <c r="H5" s="10" t="n">
        <f aca="false">F5*G5*Assumptions!$B$6/Assumptions!$B$7</f>
        <v>0.23328</v>
      </c>
      <c r="I5" s="21" t="n">
        <v>0</v>
      </c>
      <c r="J5" s="10" t="n">
        <f aca="false">H5*(1-I5)</f>
        <v>0.23328</v>
      </c>
      <c r="K5" s="18" t="n">
        <v>365</v>
      </c>
      <c r="L5" s="8" t="n">
        <f aca="false">J5*K5/Assumptions!$B$5</f>
        <v>8.51472</v>
      </c>
      <c r="M5" s="17" t="s">
        <v>68</v>
      </c>
    </row>
    <row r="6" customFormat="false" ht="15" hidden="false" customHeight="false" outlineLevel="0" collapsed="false">
      <c r="A6" s="17" t="s">
        <v>69</v>
      </c>
      <c r="B6" s="17" t="s">
        <v>70</v>
      </c>
      <c r="C6" s="17" t="s">
        <v>27</v>
      </c>
      <c r="D6" s="17" t="s">
        <v>66</v>
      </c>
      <c r="E6" s="17" t="s">
        <v>67</v>
      </c>
      <c r="F6" s="18" t="n">
        <v>4</v>
      </c>
      <c r="G6" s="18" t="n">
        <v>1200</v>
      </c>
      <c r="H6" s="10" t="n">
        <f aca="false">F6*G6*Assumptions!$B$6/Assumptions!$B$7</f>
        <v>0.41472</v>
      </c>
      <c r="I6" s="21" t="n">
        <v>0</v>
      </c>
      <c r="J6" s="10" t="n">
        <f aca="false">H6*(1-I6)</f>
        <v>0.41472</v>
      </c>
      <c r="K6" s="18" t="n">
        <v>365</v>
      </c>
      <c r="L6" s="8" t="n">
        <f aca="false">J6*K6/Assumptions!$B$5</f>
        <v>15.13728</v>
      </c>
      <c r="M6" s="17" t="s">
        <v>71</v>
      </c>
    </row>
    <row r="7" customFormat="false" ht="15" hidden="false" customHeight="false" outlineLevel="0" collapsed="false">
      <c r="A7" s="17" t="s">
        <v>72</v>
      </c>
      <c r="B7" s="17" t="s">
        <v>73</v>
      </c>
      <c r="C7" s="17" t="s">
        <v>28</v>
      </c>
      <c r="D7" s="17" t="s">
        <v>66</v>
      </c>
      <c r="E7" s="17" t="s">
        <v>74</v>
      </c>
      <c r="F7" s="18" t="n">
        <v>6</v>
      </c>
      <c r="G7" s="18" t="n">
        <v>1000</v>
      </c>
      <c r="H7" s="10" t="n">
        <f aca="false">F7*G7*Assumptions!$B$6/Assumptions!$B$7</f>
        <v>0.5184</v>
      </c>
      <c r="I7" s="21" t="n">
        <v>0</v>
      </c>
      <c r="J7" s="10" t="n">
        <f aca="false">H7*(1-I7)</f>
        <v>0.5184</v>
      </c>
      <c r="K7" s="18" t="n">
        <v>365</v>
      </c>
      <c r="L7" s="8" t="n">
        <f aca="false">J7*K7/Assumptions!$B$5</f>
        <v>18.9216</v>
      </c>
      <c r="M7" s="17" t="s">
        <v>75</v>
      </c>
    </row>
    <row r="8" customFormat="false" ht="15" hidden="false" customHeight="false" outlineLevel="0" collapsed="false">
      <c r="A8" s="17" t="s">
        <v>76</v>
      </c>
      <c r="B8" s="17" t="s">
        <v>77</v>
      </c>
      <c r="C8" s="17" t="s">
        <v>29</v>
      </c>
      <c r="D8" s="17" t="s">
        <v>66</v>
      </c>
      <c r="E8" s="17" t="s">
        <v>78</v>
      </c>
      <c r="F8" s="18" t="n">
        <v>8</v>
      </c>
      <c r="G8" s="18" t="n">
        <v>1100</v>
      </c>
      <c r="H8" s="10" t="n">
        <f aca="false">F8*G8*Assumptions!$B$6/Assumptions!$B$7</f>
        <v>0.76032</v>
      </c>
      <c r="I8" s="21" t="n">
        <v>0</v>
      </c>
      <c r="J8" s="10" t="n">
        <f aca="false">H8*(1-I8)</f>
        <v>0.76032</v>
      </c>
      <c r="K8" s="18" t="n">
        <v>365</v>
      </c>
      <c r="L8" s="8" t="n">
        <f aca="false">J8*K8/Assumptions!$B$5</f>
        <v>27.75168</v>
      </c>
      <c r="M8" s="17" t="s">
        <v>79</v>
      </c>
    </row>
    <row r="9" customFormat="false" ht="15" hidden="false" customHeight="false" outlineLevel="0" collapsed="false">
      <c r="A9" s="17" t="s">
        <v>80</v>
      </c>
      <c r="B9" s="17" t="s">
        <v>81</v>
      </c>
      <c r="C9" s="17" t="s">
        <v>30</v>
      </c>
      <c r="D9" s="17" t="s">
        <v>82</v>
      </c>
      <c r="E9" s="17" t="s">
        <v>83</v>
      </c>
      <c r="F9" s="18" t="n">
        <v>100</v>
      </c>
      <c r="G9" s="18" t="n">
        <v>550</v>
      </c>
      <c r="H9" s="10" t="n">
        <f aca="false">F9*G9*Assumptions!$B$6/Assumptions!$B$7</f>
        <v>4.752</v>
      </c>
      <c r="I9" s="21" t="n">
        <v>0.5</v>
      </c>
      <c r="J9" s="10" t="n">
        <f aca="false">H9*(1-I9)</f>
        <v>2.376</v>
      </c>
      <c r="K9" s="18" t="n">
        <v>90</v>
      </c>
      <c r="L9" s="8" t="n">
        <f aca="false">J9*K9/Assumptions!$B$5</f>
        <v>21.384</v>
      </c>
      <c r="M9" s="17" t="s">
        <v>84</v>
      </c>
    </row>
    <row r="10" customFormat="false" ht="15" hidden="false" customHeight="false" outlineLevel="0" collapsed="false">
      <c r="A10" s="17" t="s">
        <v>85</v>
      </c>
      <c r="B10" s="17" t="s">
        <v>86</v>
      </c>
      <c r="C10" s="17" t="s">
        <v>30</v>
      </c>
      <c r="D10" s="17" t="s">
        <v>87</v>
      </c>
      <c r="E10" s="17" t="s">
        <v>88</v>
      </c>
      <c r="F10" s="18" t="n">
        <v>8</v>
      </c>
      <c r="G10" s="18" t="n">
        <v>700</v>
      </c>
      <c r="H10" s="10" t="n">
        <f aca="false">F10*G10*Assumptions!$B$6/Assumptions!$B$7</f>
        <v>0.48384</v>
      </c>
      <c r="I10" s="21" t="n">
        <v>0</v>
      </c>
      <c r="J10" s="10" t="n">
        <f aca="false">H10*(1-I10)</f>
        <v>0.48384</v>
      </c>
      <c r="K10" s="18" t="n">
        <v>180</v>
      </c>
      <c r="L10" s="8" t="n">
        <f aca="false">J10*K10/Assumptions!$B$5</f>
        <v>8.70912</v>
      </c>
      <c r="M10" s="17" t="s">
        <v>89</v>
      </c>
    </row>
    <row r="11" customFormat="false" ht="15" hidden="false" customHeight="false" outlineLevel="0" collapsed="false">
      <c r="A11" s="17" t="s">
        <v>90</v>
      </c>
      <c r="B11" s="17" t="s">
        <v>91</v>
      </c>
      <c r="C11" s="17" t="s">
        <v>31</v>
      </c>
      <c r="D11" s="17" t="s">
        <v>92</v>
      </c>
      <c r="E11" s="17" t="s">
        <v>83</v>
      </c>
      <c r="F11" s="18" t="n">
        <v>40</v>
      </c>
      <c r="G11" s="18" t="n">
        <v>700</v>
      </c>
      <c r="H11" s="10" t="n">
        <f aca="false">F11*G11*Assumptions!$B$6/Assumptions!$B$7</f>
        <v>2.4192</v>
      </c>
      <c r="I11" s="21" t="n">
        <v>0.25</v>
      </c>
      <c r="J11" s="10" t="n">
        <f aca="false">H11*(1-I11)</f>
        <v>1.8144</v>
      </c>
      <c r="K11" s="18" t="n">
        <v>90</v>
      </c>
      <c r="L11" s="8" t="n">
        <f aca="false">J11*K11/Assumptions!$B$5</f>
        <v>16.3296</v>
      </c>
      <c r="M11" s="17" t="s">
        <v>93</v>
      </c>
    </row>
    <row r="12" customFormat="false" ht="15" hidden="false" customHeight="false" outlineLevel="0" collapsed="false">
      <c r="A12" s="17" t="s">
        <v>94</v>
      </c>
      <c r="B12" s="17" t="s">
        <v>95</v>
      </c>
      <c r="C12" s="17" t="s">
        <v>32</v>
      </c>
      <c r="D12" s="17" t="s">
        <v>96</v>
      </c>
      <c r="E12" s="17" t="s">
        <v>97</v>
      </c>
      <c r="F12" s="18" t="n">
        <v>25</v>
      </c>
      <c r="G12" s="18" t="n">
        <v>800</v>
      </c>
      <c r="H12" s="10" t="n">
        <f aca="false">F12*G12*Assumptions!$B$6/Assumptions!$B$7</f>
        <v>1.728</v>
      </c>
      <c r="I12" s="21" t="n">
        <v>0.3</v>
      </c>
      <c r="J12" s="10" t="n">
        <f aca="false">H12*(1-I12)</f>
        <v>1.2096</v>
      </c>
      <c r="K12" s="18" t="n">
        <v>180</v>
      </c>
      <c r="L12" s="8" t="n">
        <f aca="false">J12*K12/Assumptions!$B$5</f>
        <v>21.7728</v>
      </c>
      <c r="M12" s="17" t="s">
        <v>98</v>
      </c>
    </row>
    <row r="13" customFormat="false" ht="15" hidden="false" customHeight="false" outlineLevel="0" collapsed="false">
      <c r="A13" s="17" t="s">
        <v>99</v>
      </c>
      <c r="B13" s="17" t="s">
        <v>100</v>
      </c>
      <c r="C13" s="17" t="s">
        <v>32</v>
      </c>
      <c r="D13" s="17" t="s">
        <v>101</v>
      </c>
      <c r="E13" s="17" t="s">
        <v>97</v>
      </c>
      <c r="F13" s="18" t="n">
        <v>10</v>
      </c>
      <c r="G13" s="18" t="n">
        <v>250</v>
      </c>
      <c r="H13" s="10" t="n">
        <f aca="false">F13*G13*Assumptions!$B$6/Assumptions!$B$7</f>
        <v>0.216</v>
      </c>
      <c r="I13" s="21" t="n">
        <v>0</v>
      </c>
      <c r="J13" s="10" t="n">
        <f aca="false">H13*(1-I13)</f>
        <v>0.216</v>
      </c>
      <c r="K13" s="18" t="n">
        <v>180</v>
      </c>
      <c r="L13" s="8" t="n">
        <f aca="false">J13*K13/Assumptions!$B$5</f>
        <v>3.888</v>
      </c>
      <c r="M13" s="17" t="s">
        <v>102</v>
      </c>
    </row>
    <row r="14" customFormat="false" ht="15" hidden="false" customHeight="false" outlineLevel="0" collapsed="false">
      <c r="B14" s="9" t="s">
        <v>33</v>
      </c>
      <c r="F14" s="22" t="n">
        <f aca="false">SUM(F5:F13)</f>
        <v>204</v>
      </c>
      <c r="H14" s="23" t="n">
        <f aca="false">SUM(H5:H13)</f>
        <v>11.52576</v>
      </c>
      <c r="J14" s="23" t="n">
        <f aca="false">SUM(J5:J13)</f>
        <v>8.02656</v>
      </c>
      <c r="L14" s="24" t="n">
        <f aca="false">SUM(L5:L13)</f>
        <v>142.4088</v>
      </c>
    </row>
    <row r="16" customFormat="false" ht="15" hidden="false" customHeight="false" outlineLevel="0" collapsed="false">
      <c r="A16" s="1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2026-10-12T13:47:19Z</dcterms:created>
  <dc:creator>openpyxl</dc:creator>
  <dc:description/>
  <dc:language>en-US</dc:language>
  <cp:lastModifiedBy/>
  <dcterms:modified xsi:type="dcterms:W3CDTF">2026-10-12T13:47:19Z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